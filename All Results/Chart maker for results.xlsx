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\Documents\RiseUp\Experiment\All Results\"/>
    </mc:Choice>
  </mc:AlternateContent>
  <xr:revisionPtr revIDLastSave="0" documentId="13_ncr:1_{16368956-C3FD-4A1C-8473-9E8B4CD623FE}" xr6:coauthVersionLast="47" xr6:coauthVersionMax="47" xr10:uidLastSave="{00000000-0000-0000-0000-000000000000}"/>
  <bookViews>
    <workbookView xWindow="-96" yWindow="0" windowWidth="11712" windowHeight="12336" xr2:uid="{D3F57F22-956A-4CA6-A530-8BC22579C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6" i="1" l="1"/>
  <c r="S5" i="1"/>
  <c r="S8" i="1"/>
  <c r="R8" i="1"/>
  <c r="S7" i="1"/>
  <c r="R7" i="1"/>
  <c r="S4" i="1"/>
  <c r="S3" i="1"/>
  <c r="S2" i="1"/>
  <c r="R2" i="1"/>
  <c r="R5" i="1"/>
  <c r="R4" i="1"/>
  <c r="R3" i="1"/>
  <c r="H11" i="1"/>
  <c r="H10" i="1"/>
  <c r="H9" i="1"/>
  <c r="H8" i="1"/>
  <c r="H7" i="1"/>
  <c r="H6" i="1"/>
  <c r="H5" i="1"/>
  <c r="H4" i="1"/>
  <c r="H3" i="1"/>
  <c r="H2" i="1"/>
  <c r="S6" i="1" l="1"/>
</calcChain>
</file>

<file path=xl/sharedStrings.xml><?xml version="1.0" encoding="utf-8"?>
<sst xmlns="http://schemas.openxmlformats.org/spreadsheetml/2006/main" count="28" uniqueCount="28">
  <si>
    <t>Name</t>
  </si>
  <si>
    <t>Parameter count (bs)</t>
  </si>
  <si>
    <t>semantic similalirty with different questions</t>
  </si>
  <si>
    <t>average for all</t>
  </si>
  <si>
    <t>Haiku (≈20b)</t>
  </si>
  <si>
    <t>Sonnet 4.6 (≈500b)</t>
  </si>
  <si>
    <t>GPT OSS 20b</t>
  </si>
  <si>
    <t>GPT 4o (≈200b)</t>
  </si>
  <si>
    <t>Mistral 3:3b</t>
  </si>
  <si>
    <t>DeepSeek r1 1.5b</t>
  </si>
  <si>
    <t>DeepSeek v3.2 (≈685b)</t>
  </si>
  <si>
    <t>QWEN 3 0.6b</t>
  </si>
  <si>
    <t>QWEN 3.6 Plus (≈480)</t>
  </si>
  <si>
    <t>AVG Q3</t>
  </si>
  <si>
    <t>AVG Q4</t>
  </si>
  <si>
    <t>AVG Q1</t>
  </si>
  <si>
    <t>AVG Q2</t>
  </si>
  <si>
    <t>SLM AVG</t>
  </si>
  <si>
    <t>Q2 (Reworded)</t>
  </si>
  <si>
    <t>Q3 (Demographically Altered)</t>
  </si>
  <si>
    <t>Q4 (Preceding Chat History Added)</t>
  </si>
  <si>
    <t>Q1 (Original)</t>
  </si>
  <si>
    <t>Uncertains avg.</t>
  </si>
  <si>
    <t>Overconfident avg.</t>
  </si>
  <si>
    <t>uncertain word</t>
  </si>
  <si>
    <t>overconfident words</t>
  </si>
  <si>
    <t>LLM AVG</t>
  </si>
  <si>
    <t>Mistral Small 4 119B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</si>
</sst>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2D8F0"/>
      <color rgb="FF74C4E9"/>
      <color rgb="FF1A9868"/>
      <color rgb="FF4270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000" b="1" dirty="0"/>
              <a:t>Average</a:t>
            </a:r>
            <a:r>
              <a:rPr lang="en-US" sz="4000" b="1" baseline="0" dirty="0"/>
              <a:t> by Parameter Count</a:t>
            </a:r>
            <a:endParaRPr lang="en-US" sz="4000" b="1" dirty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15117438724524"/>
          <c:y val="0.12226783937892841"/>
          <c:w val="0.84685866614439431"/>
          <c:h val="0.5292743350695993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average for all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9"/>
            <c:spPr>
              <a:solidFill>
                <a:schemeClr val="accent1"/>
              </a:solidFill>
              <a:ln w="127000">
                <a:noFill/>
              </a:ln>
              <a:effectLst/>
            </c:spPr>
          </c:marker>
          <c:dPt>
            <c:idx val="0"/>
            <c:marker>
              <c:symbol val="circle"/>
              <c:size val="19"/>
              <c:spPr>
                <a:solidFill>
                  <a:schemeClr val="accent6"/>
                </a:solidFill>
                <a:ln w="1270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735-4A2B-8A7F-4D7D80F10381}"/>
              </c:ext>
            </c:extLst>
          </c:dPt>
          <c:dPt>
            <c:idx val="1"/>
            <c:marker>
              <c:symbol val="circle"/>
              <c:size val="19"/>
              <c:spPr>
                <a:solidFill>
                  <a:srgbClr val="156082"/>
                </a:solidFill>
                <a:ln w="1270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735-4A2B-8A7F-4D7D80F10381}"/>
              </c:ext>
            </c:extLst>
          </c:dPt>
          <c:dPt>
            <c:idx val="2"/>
            <c:marker>
              <c:symbol val="circle"/>
              <c:size val="19"/>
              <c:spPr>
                <a:solidFill>
                  <a:srgbClr val="C00000"/>
                </a:solidFill>
                <a:ln w="1270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735-4A2B-8A7F-4D7D80F10381}"/>
              </c:ext>
            </c:extLst>
          </c:dPt>
          <c:dPt>
            <c:idx val="3"/>
            <c:marker>
              <c:symbol val="circle"/>
              <c:size val="19"/>
              <c:spPr>
                <a:solidFill>
                  <a:srgbClr val="E97132"/>
                </a:solidFill>
                <a:ln w="1270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735-4A2B-8A7F-4D7D80F10381}"/>
              </c:ext>
            </c:extLst>
          </c:dPt>
          <c:dPt>
            <c:idx val="4"/>
            <c:marker>
              <c:symbol val="circle"/>
              <c:size val="19"/>
              <c:spPr>
                <a:solidFill>
                  <a:srgbClr val="402268"/>
                </a:solidFill>
                <a:ln w="1270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735-4A2B-8A7F-4D7D80F10381}"/>
              </c:ext>
            </c:extLst>
          </c:dPt>
          <c:dPt>
            <c:idx val="5"/>
            <c:marker>
              <c:symbol val="circle"/>
              <c:size val="19"/>
              <c:spPr>
                <a:solidFill>
                  <a:srgbClr val="FFC000"/>
                </a:solidFill>
                <a:ln w="1270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735-4A2B-8A7F-4D7D80F10381}"/>
              </c:ext>
            </c:extLst>
          </c:dPt>
          <c:dPt>
            <c:idx val="6"/>
            <c:marker>
              <c:symbol val="circle"/>
              <c:size val="19"/>
              <c:spPr>
                <a:solidFill>
                  <a:srgbClr val="77A818"/>
                </a:solidFill>
                <a:ln w="1270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735-4A2B-8A7F-4D7D80F10381}"/>
              </c:ext>
            </c:extLst>
          </c:dPt>
          <c:dPt>
            <c:idx val="7"/>
            <c:marker>
              <c:symbol val="circle"/>
              <c:size val="19"/>
              <c:spPr>
                <a:solidFill>
                  <a:srgbClr val="E59EDD"/>
                </a:solidFill>
                <a:ln w="1270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735-4A2B-8A7F-4D7D80F10381}"/>
              </c:ext>
            </c:extLst>
          </c:dPt>
          <c:dPt>
            <c:idx val="8"/>
            <c:marker>
              <c:symbol val="circle"/>
              <c:size val="19"/>
              <c:spPr>
                <a:solidFill>
                  <a:srgbClr val="264D24"/>
                </a:solidFill>
                <a:ln w="1270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6735-4A2B-8A7F-4D7D80F10381}"/>
              </c:ext>
            </c:extLst>
          </c:dPt>
          <c:dPt>
            <c:idx val="9"/>
            <c:marker>
              <c:symbol val="circle"/>
              <c:size val="19"/>
              <c:spPr>
                <a:solidFill>
                  <a:schemeClr val="tx1"/>
                </a:solidFill>
                <a:ln w="1270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735-4A2B-8A7F-4D7D80F10381}"/>
              </c:ext>
            </c:extLst>
          </c:dPt>
          <c:xVal>
            <c:numRef>
              <c:f>Sheet1!$B$2:$B$11</c:f>
              <c:numCache>
                <c:formatCode>General</c:formatCode>
                <c:ptCount val="10"/>
                <c:pt idx="0">
                  <c:v>20</c:v>
                </c:pt>
                <c:pt idx="1">
                  <c:v>500</c:v>
                </c:pt>
                <c:pt idx="2">
                  <c:v>20</c:v>
                </c:pt>
                <c:pt idx="3">
                  <c:v>200</c:v>
                </c:pt>
                <c:pt idx="4">
                  <c:v>3</c:v>
                </c:pt>
                <c:pt idx="5">
                  <c:v>119</c:v>
                </c:pt>
                <c:pt idx="6">
                  <c:v>1.5</c:v>
                </c:pt>
                <c:pt idx="7">
                  <c:v>685</c:v>
                </c:pt>
                <c:pt idx="8">
                  <c:v>0.6</c:v>
                </c:pt>
                <c:pt idx="9">
                  <c:v>480</c:v>
                </c:pt>
              </c:numCache>
            </c:numRef>
          </c:xVal>
          <c:yVal>
            <c:numRef>
              <c:f>Sheet1!$H$2:$H$11</c:f>
              <c:numCache>
                <c:formatCode>General</c:formatCode>
                <c:ptCount val="10"/>
                <c:pt idx="0">
                  <c:v>75.67</c:v>
                </c:pt>
                <c:pt idx="1">
                  <c:v>82.092500000000001</c:v>
                </c:pt>
                <c:pt idx="2">
                  <c:v>79.03</c:v>
                </c:pt>
                <c:pt idx="3">
                  <c:v>82.367499999999993</c:v>
                </c:pt>
                <c:pt idx="4">
                  <c:v>82.202500000000015</c:v>
                </c:pt>
                <c:pt idx="5">
                  <c:v>71.932500000000005</c:v>
                </c:pt>
                <c:pt idx="6">
                  <c:v>51.085000000000001</c:v>
                </c:pt>
                <c:pt idx="7">
                  <c:v>72.102499999999992</c:v>
                </c:pt>
                <c:pt idx="8">
                  <c:v>54.832500000000003</c:v>
                </c:pt>
                <c:pt idx="9">
                  <c:v>83.304999999999993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735-4A2B-8A7F-4D7D80F10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703407"/>
        <c:axId val="2095702927"/>
      </c:scatterChart>
      <c:valAx>
        <c:axId val="2095703407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 dirty="0"/>
                  <a:t>Parameter</a:t>
                </a:r>
                <a:r>
                  <a:rPr lang="en-US" sz="3200" baseline="0" dirty="0"/>
                  <a:t> Count (in billions)</a:t>
                </a:r>
                <a:endParaRPr lang="en-US" sz="3200" dirty="0"/>
              </a:p>
            </c:rich>
          </c:tx>
          <c:layout>
            <c:manualLayout>
              <c:xMode val="edge"/>
              <c:yMode val="edge"/>
              <c:x val="0.38692762664220692"/>
              <c:y val="0.740817952285016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702927"/>
        <c:crosses val="autoZero"/>
        <c:crossBetween val="midCat"/>
      </c:valAx>
      <c:valAx>
        <c:axId val="2095702927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 dirty="0"/>
                  <a:t>Averaged</a:t>
                </a:r>
                <a:r>
                  <a:rPr lang="en-US" sz="3200" baseline="0" dirty="0"/>
                  <a:t> Similarity Scores %</a:t>
                </a:r>
                <a:endParaRPr lang="en-US" sz="3200" dirty="0"/>
              </a:p>
            </c:rich>
          </c:tx>
          <c:layout>
            <c:manualLayout>
              <c:xMode val="edge"/>
              <c:yMode val="edge"/>
              <c:x val="5.0301065582514489E-3"/>
              <c:y val="0.154306888726437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70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SLM Avg. vs Updated Version Avg.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SLM AVG</c:v>
                </c:pt>
              </c:strCache>
            </c:strRef>
          </c:tx>
          <c:spPr>
            <a:solidFill>
              <a:srgbClr val="42705E"/>
            </a:solidFill>
            <a:ln>
              <a:noFill/>
            </a:ln>
            <a:effectLst/>
          </c:spPr>
          <c:invertIfNegative val="0"/>
          <c:cat>
            <c:strRef>
              <c:f>Sheet1!$Q$2:$Q$5</c:f>
              <c:strCache>
                <c:ptCount val="4"/>
                <c:pt idx="0">
                  <c:v>Q1 (Original)</c:v>
                </c:pt>
                <c:pt idx="1">
                  <c:v>Q2 (Reworded)</c:v>
                </c:pt>
                <c:pt idx="2">
                  <c:v>Q3 (Demographically Altered)</c:v>
                </c:pt>
                <c:pt idx="3">
                  <c:v>Q4 (Preceding Chat History Added)</c:v>
                </c:pt>
              </c:strCache>
            </c:strRef>
          </c:cat>
          <c:val>
            <c:numRef>
              <c:f>Sheet1!$R$2:$R$5</c:f>
              <c:numCache>
                <c:formatCode>General</c:formatCode>
                <c:ptCount val="4"/>
                <c:pt idx="0">
                  <c:v>71.646000000000001</c:v>
                </c:pt>
                <c:pt idx="1">
                  <c:v>71.22</c:v>
                </c:pt>
                <c:pt idx="2">
                  <c:v>60</c:v>
                </c:pt>
                <c:pt idx="3">
                  <c:v>71.383999999999986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6-446F-8CCE-17D1D1BC5261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LLM AVG</c:v>
                </c:pt>
              </c:strCache>
            </c:strRef>
          </c:tx>
          <c:spPr>
            <a:solidFill>
              <a:srgbClr val="1A9868"/>
            </a:solidFill>
            <a:ln>
              <a:noFill/>
            </a:ln>
            <a:effectLst/>
          </c:spPr>
          <c:invertIfNegative val="0"/>
          <c:cat>
            <c:strRef>
              <c:f>Sheet1!$Q$2:$Q$5</c:f>
              <c:strCache>
                <c:ptCount val="4"/>
                <c:pt idx="0">
                  <c:v>Q1 (Original)</c:v>
                </c:pt>
                <c:pt idx="1">
                  <c:v>Q2 (Reworded)</c:v>
                </c:pt>
                <c:pt idx="2">
                  <c:v>Q3 (Demographically Altered)</c:v>
                </c:pt>
                <c:pt idx="3">
                  <c:v>Q4 (Preceding Chat History Added)</c:v>
                </c:pt>
              </c:strCache>
            </c:strRef>
          </c:cat>
          <c:val>
            <c:numRef>
              <c:f>Sheet1!$S$2:$S$5</c:f>
              <c:numCache>
                <c:formatCode>General</c:formatCode>
                <c:ptCount val="4"/>
                <c:pt idx="0">
                  <c:v>81.494</c:v>
                </c:pt>
                <c:pt idx="1">
                  <c:v>80.85199999999999</c:v>
                </c:pt>
                <c:pt idx="2">
                  <c:v>76.746000000000009</c:v>
                </c:pt>
                <c:pt idx="3">
                  <c:v>74.346000000000004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96-446F-8CCE-17D1D1BC5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748207"/>
        <c:axId val="635746287"/>
      </c:barChart>
      <c:catAx>
        <c:axId val="63574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46287"/>
        <c:crosses val="autoZero"/>
        <c:auto val="1"/>
        <c:lblAlgn val="ctr"/>
        <c:lblOffset val="100"/>
        <c:noMultiLvlLbl val="0"/>
      </c:catAx>
      <c:valAx>
        <c:axId val="63574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4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92D050"/>
        </a:gs>
        <a:gs pos="74000">
          <a:schemeClr val="accent1">
            <a:lumMod val="45000"/>
            <a:lumOff val="55000"/>
          </a:schemeClr>
        </a:gs>
        <a:gs pos="83000">
          <a:srgbClr val="74C4E9"/>
        </a:gs>
        <a:gs pos="100000">
          <a:srgbClr val="A2D8F0"/>
        </a:gs>
      </a:gsLst>
      <a:lin ang="5400000" scaled="1"/>
    </a:gradFill>
    <a:ln w="9525" cap="flat" cmpd="sng" algn="ctr">
      <a:solidFill>
        <a:srgbClr val="92D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22</xdr:col>
      <xdr:colOff>84301</xdr:colOff>
      <xdr:row>74</xdr:row>
      <xdr:rowOff>139329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445E14-1B83-06B9-2384-CEFD38566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446314</xdr:colOff>
      <xdr:row>12</xdr:row>
      <xdr:rowOff>114300</xdr:rowOff>
    </xdr:from>
    <xdr:to>
      <xdr:col>27</xdr:col>
      <xdr:colOff>141514</xdr:colOff>
      <xdr:row>27</xdr:row>
      <xdr:rowOff>81643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C9C525-6521-B203-F598-DA1819BAF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0.82318</cdr:y>
    </cdr:from>
    <cdr:to>
      <cdr:x>1</cdr:x>
      <cdr:y>0.99574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C209237-454D-6913-4696-006EC12A9523}"/>
            </a:ext>
          </a:extLst>
        </cdr:cNvPr>
        <cdr:cNvSpPr txBox="1"/>
      </cdr:nvSpPr>
      <cdr:spPr>
        <a:xfrm xmlns:a="http://schemas.openxmlformats.org/drawingml/2006/main">
          <a:off x="-17831910" y="7731443"/>
          <a:ext cx="17548336" cy="16207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t"/>
        <a:lstStyle xmlns:a="http://schemas.openxmlformats.org/drawingml/2006/main"/>
        <a:p xmlns:a="http://schemas.openxmlformats.org/drawingml/2006/main">
          <a:r>
            <a:rPr lang="en-US" sz="3200" kern="1200" dirty="0">
              <a:solidFill>
                <a:sysClr val="windowText" lastClr="000000"/>
              </a:solidFill>
            </a:rPr>
            <a:t>Color</a:t>
          </a:r>
          <a:r>
            <a:rPr lang="en-US" sz="3200" kern="1200" baseline="0" dirty="0">
              <a:solidFill>
                <a:sysClr val="windowText" lastClr="000000"/>
              </a:solidFill>
            </a:rPr>
            <a:t> coded by model for each data point</a:t>
          </a:r>
          <a:endParaRPr lang="en-US" sz="3200" kern="1200" dirty="0">
            <a:solidFill>
              <a:sysClr val="windowText" lastClr="000000"/>
            </a:solidFill>
          </a:endParaRPr>
        </a:p>
        <a:p xmlns:a="http://schemas.openxmlformats.org/drawingml/2006/main">
          <a:r>
            <a:rPr lang="en-US" sz="3200" kern="1200" dirty="0">
              <a:solidFill>
                <a:schemeClr val="accent5"/>
              </a:solidFill>
            </a:rPr>
            <a:t>DeepSeek r1 1.5B            </a:t>
          </a:r>
          <a:r>
            <a:rPr lang="en-US" sz="3200" kern="1200" dirty="0">
              <a:solidFill>
                <a:sysClr val="windowText" lastClr="000000"/>
              </a:solidFill>
            </a:rPr>
            <a:t>   QWEN 3.6 Plus (≈480B)   </a:t>
          </a:r>
          <a:r>
            <a:rPr kumimoji="0" lang="en-US" sz="3200" b="0" i="0" u="none" strike="noStrike" kern="1200" cap="none" spc="0" normalizeH="0" baseline="0" noProof="0" dirty="0">
              <a:ln>
                <a:noFill/>
              </a:ln>
              <a:solidFill>
                <a:srgbClr val="156082"/>
              </a:solidFill>
              <a:effectLst/>
              <a:uLnTx/>
              <a:uFillTx/>
            </a:rPr>
            <a:t>Sonnet 4.6 (≈500B)</a:t>
          </a:r>
          <a:r>
            <a:rPr lang="en-US" sz="3200" kern="1200" dirty="0">
              <a:solidFill>
                <a:schemeClr val="accent4"/>
              </a:solidFill>
            </a:rPr>
            <a:t>     </a:t>
          </a:r>
          <a:r>
            <a:rPr kumimoji="0" lang="en-US" sz="3200" b="0" i="0" u="none" strike="noStrike" kern="1200" cap="none" spc="0" normalizeH="0" baseline="0" noProof="0" dirty="0">
              <a:ln>
                <a:noFill/>
              </a:ln>
              <a:solidFill>
                <a:srgbClr val="C00000"/>
              </a:solidFill>
              <a:effectLst/>
              <a:uLnTx/>
              <a:uFillTx/>
            </a:rPr>
            <a:t>GPT OSS 20B        </a:t>
          </a:r>
          <a:r>
            <a:rPr kumimoji="0" lang="en-US" sz="3200" b="0" i="0" u="none" strike="noStrike" kern="1200" cap="none" spc="0" normalizeH="0" baseline="0" noProof="0" dirty="0">
              <a:ln>
                <a:noFill/>
              </a:ln>
              <a:solidFill>
                <a:srgbClr val="402268"/>
              </a:solidFill>
              <a:effectLst/>
              <a:uLnTx/>
              <a:uFillTx/>
            </a:rPr>
            <a:t>Mistral 3</a:t>
          </a:r>
          <a:r>
            <a:rPr kumimoji="0" lang="en-US" sz="3200" b="0" i="0" u="none" strike="noStrike" kern="1200" cap="none" spc="0" normalizeH="0" noProof="0" dirty="0">
              <a:ln>
                <a:noFill/>
              </a:ln>
              <a:solidFill>
                <a:srgbClr val="402268"/>
              </a:solidFill>
              <a:effectLst/>
              <a:uLnTx/>
              <a:uFillTx/>
            </a:rPr>
            <a:t> </a:t>
          </a:r>
          <a:r>
            <a:rPr kumimoji="0" lang="en-US" sz="3200" b="0" i="0" u="none" strike="noStrike" kern="1200" cap="none" spc="0" normalizeH="0" baseline="0" noProof="0" dirty="0">
              <a:ln>
                <a:noFill/>
              </a:ln>
              <a:solidFill>
                <a:srgbClr val="402268"/>
              </a:solidFill>
              <a:effectLst/>
              <a:uLnTx/>
              <a:uFillTx/>
            </a:rPr>
            <a:t>3B</a:t>
          </a:r>
          <a:r>
            <a:rPr kumimoji="0" lang="en-US" sz="3200" b="0" i="0" u="none" strike="noStrike" kern="1200" cap="none" spc="0" normalizeH="0" baseline="0" noProof="0" dirty="0">
              <a:ln>
                <a:noFill/>
              </a:ln>
              <a:solidFill>
                <a:srgbClr val="156082"/>
              </a:solidFill>
              <a:effectLst/>
              <a:uLnTx/>
              <a:uFillTx/>
            </a:rPr>
            <a:t> </a:t>
          </a:r>
          <a:r>
            <a:rPr kumimoji="0" lang="en-US" sz="3200" b="0" i="0" u="none" strike="noStrike" kern="1200" cap="none" spc="0" normalizeH="0" baseline="0" noProof="0" dirty="0">
              <a:ln>
                <a:noFill/>
              </a:ln>
              <a:solidFill>
                <a:srgbClr val="C00000"/>
              </a:solidFill>
              <a:effectLst/>
              <a:uLnTx/>
              <a:uFillTx/>
            </a:rPr>
            <a:t> </a:t>
          </a:r>
          <a:endParaRPr lang="en-US" sz="3200" kern="1200" dirty="0">
            <a:solidFill>
              <a:schemeClr val="accent4"/>
            </a:solidFill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1200" cap="none" spc="0" normalizeH="0" baseline="0" noProof="0" dirty="0">
              <a:ln>
                <a:noFill/>
              </a:ln>
              <a:solidFill>
                <a:srgbClr val="A02B93">
                  <a:lumMod val="40000"/>
                  <a:lumOff val="60000"/>
                </a:srgbClr>
              </a:solidFill>
              <a:effectLst/>
              <a:uLnTx/>
              <a:uFillTx/>
            </a:rPr>
            <a:t>DeepSeek v3.2 (≈685B)     </a:t>
          </a:r>
          <a:r>
            <a:rPr lang="en-US" sz="3200" dirty="0">
              <a:solidFill>
                <a:schemeClr val="accent4"/>
              </a:solidFill>
              <a:effectLst/>
            </a:rPr>
            <a:t>QWEN 3 0.6B</a:t>
          </a:r>
          <a:r>
            <a:rPr lang="en-US" sz="3200" baseline="0" dirty="0">
              <a:solidFill>
                <a:schemeClr val="accent4"/>
              </a:solidFill>
              <a:effectLst/>
            </a:rPr>
            <a:t>                     </a:t>
          </a:r>
          <a:r>
            <a:rPr kumimoji="0" lang="en-US" sz="3200" b="0" i="0" u="none" strike="noStrike" kern="1200" cap="none" spc="0" normalizeH="0" baseline="0" noProof="0" dirty="0">
              <a:ln>
                <a:noFill/>
              </a:ln>
              <a:solidFill>
                <a:schemeClr val="accent6"/>
              </a:solidFill>
              <a:effectLst/>
              <a:uLnTx/>
              <a:uFillTx/>
            </a:rPr>
            <a:t>Haiku (≈20B)</a:t>
          </a:r>
          <a:r>
            <a:rPr kumimoji="0" lang="en-US" sz="3200" b="0" i="0" u="none" strike="noStrike" kern="1200" cap="none" spc="0" normalizeH="0" baseline="0" noProof="0" dirty="0">
              <a:ln>
                <a:noFill/>
              </a:ln>
              <a:solidFill>
                <a:srgbClr val="E8E8E8">
                  <a:lumMod val="50000"/>
                </a:srgbClr>
              </a:solidFill>
              <a:effectLst/>
              <a:uLnTx/>
              <a:uFillTx/>
            </a:rPr>
            <a:t>                </a:t>
          </a:r>
          <a:r>
            <a:rPr kumimoji="0" lang="en-US" sz="3200" b="0" i="0" u="none" strike="noStrike" kern="1200" cap="none" spc="0" normalizeH="0" baseline="0" noProof="0" dirty="0">
              <a:ln>
                <a:noFill/>
              </a:ln>
              <a:solidFill>
                <a:srgbClr val="E97132"/>
              </a:solidFill>
              <a:effectLst/>
              <a:uLnTx/>
              <a:uFillTx/>
            </a:rPr>
            <a:t>GPT 4o (≈200B)  </a:t>
          </a:r>
          <a:r>
            <a:rPr kumimoji="0" lang="en-US" sz="3200" b="0" i="0" u="none" strike="noStrike" kern="1200" cap="none" spc="0" normalizeH="0" noProof="0" dirty="0">
              <a:ln>
                <a:noFill/>
              </a:ln>
              <a:solidFill>
                <a:srgbClr val="E97132"/>
              </a:solidFill>
              <a:effectLst/>
              <a:uLnTx/>
              <a:uFillTx/>
            </a:rPr>
            <a:t> </a:t>
          </a:r>
          <a:r>
            <a:rPr kumimoji="0" lang="en-US" sz="3200" b="0" i="0" u="none" strike="noStrike" kern="0" cap="none" spc="0" normalizeH="0" baseline="0" noProof="0" dirty="0">
              <a:ln>
                <a:noFill/>
              </a:ln>
              <a:solidFill>
                <a:srgbClr val="FFC000"/>
              </a:solidFill>
              <a:effectLst/>
              <a:uLnTx/>
              <a:uFillTx/>
            </a:rPr>
            <a:t>Mistral 3 14B</a:t>
          </a:r>
          <a:endParaRPr kumimoji="0" lang="en-US" sz="3200" b="0" i="0" u="none" strike="noStrike" kern="1200" cap="none" spc="0" normalizeH="0" baseline="0" noProof="0" dirty="0">
            <a:ln>
              <a:noFill/>
            </a:ln>
            <a:solidFill>
              <a:srgbClr val="FFC000"/>
            </a:solidFill>
            <a:effectLst/>
            <a:uLnTx/>
            <a:uFillTx/>
          </a:endParaRPr>
        </a:p>
        <a:p xmlns:a="http://schemas.openxmlformats.org/drawingml/2006/main">
          <a:r>
            <a:rPr lang="en-US" sz="3200" kern="1200" dirty="0">
              <a:solidFill>
                <a:schemeClr val="accent4"/>
              </a:solidFill>
            </a:rPr>
            <a:t>	</a:t>
          </a:r>
          <a:r>
            <a:rPr lang="en-US" sz="3200" kern="1200" baseline="0" dirty="0">
              <a:solidFill>
                <a:schemeClr val="accent4"/>
              </a:solidFill>
            </a:rPr>
            <a:t>                              </a:t>
          </a:r>
          <a:r>
            <a:rPr lang="en-US" sz="3200" kern="1200" dirty="0">
              <a:solidFill>
                <a:schemeClr val="accent6"/>
              </a:solidFill>
            </a:rPr>
            <a:t>                                    </a:t>
          </a:r>
          <a:r>
            <a:rPr lang="en-US" sz="3200" kern="1200" dirty="0">
              <a:solidFill>
                <a:schemeClr val="accent5">
                  <a:lumMod val="40000"/>
                  <a:lumOff val="60000"/>
                </a:schemeClr>
              </a:solidFill>
            </a:rPr>
            <a:t> </a:t>
          </a:r>
          <a:r>
            <a:rPr lang="en-US" sz="3200" kern="1200" dirty="0">
              <a:solidFill>
                <a:srgbClr val="C00000"/>
              </a:solidFill>
            </a:rPr>
            <a:t>                                   </a:t>
          </a:r>
          <a:r>
            <a:rPr lang="en-US" sz="3200" kern="1200" dirty="0">
              <a:solidFill>
                <a:schemeClr val="accent1"/>
              </a:solidFill>
            </a:rPr>
            <a:t>                                       </a:t>
          </a:r>
          <a:endParaRPr lang="en-US" sz="3200" kern="1200" dirty="0">
            <a:solidFill>
              <a:schemeClr val="accent2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919C7-5C0A-41FE-ACBA-A19574BD0442}">
  <dimension ref="A1:S11"/>
  <sheetViews>
    <sheetView tabSelected="1" zoomScale="70" zoomScaleNormal="70" workbookViewId="0">
      <selection activeCell="G7" sqref="G7"/>
    </sheetView>
  </sheetViews>
  <sheetFormatPr defaultRowHeight="14.4" x14ac:dyDescent="0.3"/>
  <cols>
    <col min="3" max="6" width="22.33203125" style="1" customWidth="1"/>
  </cols>
  <sheetData>
    <row r="1" spans="1:19" ht="28.8" x14ac:dyDescent="0.3">
      <c r="A1" t="s">
        <v>0</v>
      </c>
      <c r="B1" t="s">
        <v>1</v>
      </c>
      <c r="C1" s="1" t="s">
        <v>2</v>
      </c>
      <c r="D1" s="1" t="s">
        <v>15</v>
      </c>
      <c r="E1" s="1" t="s">
        <v>16</v>
      </c>
      <c r="F1" s="1" t="s">
        <v>13</v>
      </c>
      <c r="G1" t="s">
        <v>14</v>
      </c>
      <c r="H1" t="s">
        <v>3</v>
      </c>
      <c r="I1" s="1" t="s">
        <v>22</v>
      </c>
      <c r="J1" s="1" t="s">
        <v>23</v>
      </c>
      <c r="R1" t="s">
        <v>17</v>
      </c>
      <c r="S1" t="s">
        <v>26</v>
      </c>
    </row>
    <row r="2" spans="1:19" ht="31.8" thickBot="1" x14ac:dyDescent="0.35">
      <c r="A2" s="2" t="s">
        <v>4</v>
      </c>
      <c r="B2" s="5">
        <v>20</v>
      </c>
      <c r="C2" s="1">
        <v>77.760000000000005</v>
      </c>
      <c r="D2" s="6">
        <v>77.900000000000006</v>
      </c>
      <c r="E2" s="6">
        <v>81</v>
      </c>
      <c r="F2" s="6">
        <v>74.37</v>
      </c>
      <c r="G2">
        <v>69.400000000000006</v>
      </c>
      <c r="H2">
        <f t="shared" ref="H2:H11" si="0">((C2*30) + (G2*10))/40</f>
        <v>75.67</v>
      </c>
      <c r="I2" s="6">
        <v>2.65</v>
      </c>
      <c r="J2" s="6">
        <v>0.04</v>
      </c>
      <c r="Q2" t="s">
        <v>21</v>
      </c>
      <c r="R2">
        <f>AVERAGE(D2,D4,D6,D8,D10)</f>
        <v>71.646000000000001</v>
      </c>
      <c r="S2">
        <f>AVERAGE(D3,D5,D7,D9,D11)</f>
        <v>81.494</v>
      </c>
    </row>
    <row r="3" spans="1:19" ht="47.4" thickBot="1" x14ac:dyDescent="0.35">
      <c r="A3" s="3" t="s">
        <v>5</v>
      </c>
      <c r="B3" s="5">
        <v>500</v>
      </c>
      <c r="C3" s="1">
        <v>81.900000000000006</v>
      </c>
      <c r="D3" s="6">
        <v>86.9</v>
      </c>
      <c r="E3" s="6">
        <v>86.1</v>
      </c>
      <c r="F3" s="6">
        <v>72.7</v>
      </c>
      <c r="G3">
        <v>82.67</v>
      </c>
      <c r="H3">
        <f t="shared" si="0"/>
        <v>82.092500000000001</v>
      </c>
      <c r="I3" s="6">
        <v>1.6</v>
      </c>
      <c r="J3" s="6">
        <v>0.26</v>
      </c>
      <c r="Q3" t="s">
        <v>18</v>
      </c>
      <c r="R3">
        <f>AVERAGE(E2,E4,E6,E8,E10)</f>
        <v>71.22</v>
      </c>
      <c r="S3">
        <f>AVERAGE(E3,E5,E7,E9,E11)</f>
        <v>80.85199999999999</v>
      </c>
    </row>
    <row r="4" spans="1:19" ht="47.4" thickBot="1" x14ac:dyDescent="0.35">
      <c r="A4" s="3" t="s">
        <v>6</v>
      </c>
      <c r="B4" s="5">
        <v>20</v>
      </c>
      <c r="C4" s="1">
        <v>78.83</v>
      </c>
      <c r="D4" s="6">
        <v>83.83</v>
      </c>
      <c r="E4" s="6">
        <v>80.97</v>
      </c>
      <c r="F4" s="6">
        <v>71.7</v>
      </c>
      <c r="G4">
        <v>79.63</v>
      </c>
      <c r="H4">
        <f t="shared" si="0"/>
        <v>79.03</v>
      </c>
      <c r="I4" s="6">
        <v>2.42</v>
      </c>
      <c r="J4" s="6">
        <v>0.28999999999999998</v>
      </c>
      <c r="Q4" t="s">
        <v>19</v>
      </c>
      <c r="R4">
        <f>AVERAGE(F2,F4,F6,F8,F10)</f>
        <v>60</v>
      </c>
      <c r="S4">
        <f>AVERAGE(F3,F5,F7,F9,F11)</f>
        <v>76.746000000000009</v>
      </c>
    </row>
    <row r="5" spans="1:19" ht="31.8" thickBot="1" x14ac:dyDescent="0.35">
      <c r="A5" s="3" t="s">
        <v>7</v>
      </c>
      <c r="B5" s="5">
        <v>200</v>
      </c>
      <c r="C5" s="1">
        <v>83.88</v>
      </c>
      <c r="D5" s="6">
        <v>82.8</v>
      </c>
      <c r="E5" s="6">
        <v>84.63</v>
      </c>
      <c r="F5" s="6">
        <v>84.2</v>
      </c>
      <c r="G5">
        <v>77.83</v>
      </c>
      <c r="H5">
        <f t="shared" si="0"/>
        <v>82.367499999999993</v>
      </c>
      <c r="I5" s="6">
        <v>2.88</v>
      </c>
      <c r="J5" s="6">
        <v>0.04</v>
      </c>
      <c r="Q5" t="s">
        <v>20</v>
      </c>
      <c r="R5">
        <f>AVERAGE(G2,G4,G6,G8,G10)</f>
        <v>71.383999999999986</v>
      </c>
      <c r="S5">
        <f>AVERAGE(G3,G5,G7,G9,G11)</f>
        <v>74.346000000000004</v>
      </c>
    </row>
    <row r="6" spans="1:19" ht="31.8" thickBot="1" x14ac:dyDescent="0.35">
      <c r="A6" s="3" t="s">
        <v>8</v>
      </c>
      <c r="B6" s="5">
        <v>3</v>
      </c>
      <c r="C6" s="1">
        <v>82.26</v>
      </c>
      <c r="D6" s="6">
        <v>84.4</v>
      </c>
      <c r="E6" s="6">
        <v>84.43</v>
      </c>
      <c r="F6" s="6">
        <v>77.930000000000007</v>
      </c>
      <c r="G6">
        <v>82.03</v>
      </c>
      <c r="H6">
        <f t="shared" si="0"/>
        <v>82.202500000000015</v>
      </c>
      <c r="I6" s="6">
        <v>5.15</v>
      </c>
      <c r="J6" s="6">
        <v>0.31</v>
      </c>
      <c r="R6">
        <f>AVERAGE(R2,R3,R4,R5)</f>
        <v>68.5625</v>
      </c>
      <c r="S6">
        <f>AVERAGE(S2,S3,S4,S5)</f>
        <v>78.359499999999997</v>
      </c>
    </row>
    <row r="7" spans="1:19" ht="47.4" thickBot="1" x14ac:dyDescent="0.35">
      <c r="A7" s="3" t="s">
        <v>27</v>
      </c>
      <c r="B7" s="5">
        <v>119</v>
      </c>
      <c r="C7" s="1">
        <v>76.599999999999994</v>
      </c>
      <c r="D7" s="6">
        <v>74.2</v>
      </c>
      <c r="E7" s="6">
        <v>77.67</v>
      </c>
      <c r="F7" s="6">
        <v>77.930000000000007</v>
      </c>
      <c r="G7">
        <v>57.93</v>
      </c>
      <c r="H7">
        <f t="shared" si="0"/>
        <v>71.932500000000005</v>
      </c>
      <c r="I7" s="6">
        <v>3.44</v>
      </c>
      <c r="J7" s="6">
        <v>0.27</v>
      </c>
      <c r="Q7" t="s">
        <v>24</v>
      </c>
      <c r="R7">
        <f>AVERAGE(I2,I4,I6,I8,I10)</f>
        <v>2.74</v>
      </c>
      <c r="S7">
        <f>AVERAGE(I3,I5,I7,I9,I11)</f>
        <v>2.988</v>
      </c>
    </row>
    <row r="8" spans="1:19" ht="47.4" thickBot="1" x14ac:dyDescent="0.35">
      <c r="A8" s="3" t="s">
        <v>9</v>
      </c>
      <c r="B8" s="5">
        <v>1.5</v>
      </c>
      <c r="C8" s="1">
        <v>45.67</v>
      </c>
      <c r="D8" s="6">
        <v>50.33</v>
      </c>
      <c r="E8" s="6">
        <v>52.57</v>
      </c>
      <c r="F8" s="6">
        <v>34.1</v>
      </c>
      <c r="G8">
        <v>67.33</v>
      </c>
      <c r="H8">
        <f t="shared" si="0"/>
        <v>51.085000000000001</v>
      </c>
      <c r="I8" s="6">
        <v>2.08</v>
      </c>
      <c r="J8" s="6">
        <v>0.03</v>
      </c>
      <c r="Q8" t="s">
        <v>25</v>
      </c>
      <c r="R8">
        <f>AVERAGE(J2,J4,J6,J8,J10)</f>
        <v>0.13799999999999998</v>
      </c>
      <c r="S8">
        <f>AVERAGE(J3,J5,J7,J9,J11)</f>
        <v>0.16</v>
      </c>
    </row>
    <row r="9" spans="1:19" ht="47.4" thickBot="1" x14ac:dyDescent="0.35">
      <c r="A9" s="3" t="s">
        <v>10</v>
      </c>
      <c r="B9" s="5">
        <v>685</v>
      </c>
      <c r="C9" s="1">
        <v>73.38</v>
      </c>
      <c r="D9" s="6">
        <v>79.099999999999994</v>
      </c>
      <c r="E9" s="6">
        <v>69.03</v>
      </c>
      <c r="F9" s="6">
        <v>72</v>
      </c>
      <c r="G9">
        <v>68.27</v>
      </c>
      <c r="H9">
        <f t="shared" si="0"/>
        <v>72.102499999999992</v>
      </c>
      <c r="I9" s="6">
        <v>5.85</v>
      </c>
      <c r="J9" s="6">
        <v>0.09</v>
      </c>
    </row>
    <row r="10" spans="1:19" ht="31.8" thickBot="1" x14ac:dyDescent="0.35">
      <c r="A10" s="3" t="s">
        <v>11</v>
      </c>
      <c r="B10" s="5">
        <v>0.6</v>
      </c>
      <c r="C10" s="1">
        <v>53.6</v>
      </c>
      <c r="D10" s="6">
        <v>61.77</v>
      </c>
      <c r="E10" s="6">
        <v>57.13</v>
      </c>
      <c r="F10" s="6">
        <v>41.9</v>
      </c>
      <c r="G10">
        <v>58.53</v>
      </c>
      <c r="H10">
        <f t="shared" si="0"/>
        <v>54.832500000000003</v>
      </c>
      <c r="I10" s="6">
        <v>1.4</v>
      </c>
      <c r="J10" s="6">
        <v>0.02</v>
      </c>
    </row>
    <row r="11" spans="1:19" ht="46.8" x14ac:dyDescent="0.3">
      <c r="A11" s="4" t="s">
        <v>12</v>
      </c>
      <c r="B11" s="5">
        <v>480</v>
      </c>
      <c r="C11" s="1">
        <v>82.73</v>
      </c>
      <c r="D11" s="6">
        <v>84.47</v>
      </c>
      <c r="E11" s="6">
        <v>86.83</v>
      </c>
      <c r="F11" s="6">
        <v>76.900000000000006</v>
      </c>
      <c r="G11">
        <v>85.03</v>
      </c>
      <c r="H11">
        <f t="shared" si="0"/>
        <v>83.304999999999993</v>
      </c>
      <c r="I11" s="6">
        <v>1.17</v>
      </c>
      <c r="J11" s="6">
        <v>0.14000000000000001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Anis, Amanullah M</dc:creator>
  <cp:lastModifiedBy>Anis, Amanullah M</cp:lastModifiedBy>
  <dcterms:created xsi:type="dcterms:W3CDTF">2026-07-17T16:22:47Z</dcterms:created>
  <dcterms:modified xsi:type="dcterms:W3CDTF">2026-07-26T00:18:50Z</dcterms:modified>
</cp:coreProperties>
</file>